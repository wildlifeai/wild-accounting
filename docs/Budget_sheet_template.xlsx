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Funding_info" sheetId="1" state="visible" r:id="rId1"/>
    <sheet name="Budget" sheetId="2" state="visible" r:id="rId2"/>
    <sheet name="Forecast" sheetId="3" state="visible" r:id="rId3"/>
    <sheet name="Submitted_budget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m/yy"/>
    <numFmt numFmtId="165" formatCode="\$#,##0"/>
    <numFmt numFmtId="166" formatCode="0.0%"/>
    <numFmt numFmtId="167" formatCode="\$#,##0.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F5E5A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DEEAD8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165" fontId="7" fillId="2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7" fontId="7" fillId="2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165" fontId="7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7" fontId="7" fillId="2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A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cols>
    <col width="28" customWidth="1" style="17" min="1" max="1"/>
    <col width="26" customWidth="1" style="17" min="2" max="2"/>
    <col width="72" customWidth="1" style="17" min="3" max="3"/>
  </cols>
  <sheetData>
    <row r="1" ht="16.15" customHeight="1" s="18">
      <c r="A1" s="19" t="inlineStr">
        <is>
          <t>Funding_info</t>
        </is>
      </c>
    </row>
    <row r="2" ht="15" customHeight="1" s="18">
      <c r="A2" s="20" t="inlineStr">
        <is>
          <t>One row per field. The dashboard reads column B. Fill the yellow cells; grey cells are formulas over the Budget tab - do not edit them.</t>
        </is>
      </c>
    </row>
    <row r="4" ht="15" customHeight="1" s="18">
      <c r="A4" s="21" t="inlineStr">
        <is>
          <t>Funding source</t>
        </is>
      </c>
      <c r="B4" s="22" t="inlineStr">
        <is>
          <t>SPY_26_EXAMPLE</t>
        </is>
      </c>
      <c r="C4" s="20" t="inlineStr">
        <is>
          <t>Must match the file name AND the Xero 'Funding source' tracking value</t>
        </is>
      </c>
    </row>
    <row r="5" ht="15" customHeight="1" s="18">
      <c r="A5" s="21" t="inlineStr">
        <is>
          <t>Project</t>
        </is>
      </c>
      <c r="B5" s="22" t="inlineStr">
        <is>
          <t>Spyfish Aotearoa</t>
        </is>
      </c>
      <c r="C5" s="20" t="inlineStr">
        <is>
          <t>Default project for lines with a blank Project cell</t>
        </is>
      </c>
    </row>
    <row r="6" ht="15" customHeight="1" s="18">
      <c r="A6" s="21" t="inlineStr">
        <is>
          <t>Funder</t>
        </is>
      </c>
      <c r="B6" s="22" t="inlineStr">
        <is>
          <t>Example Funder Trust</t>
        </is>
      </c>
      <c r="C6" s="20" t="inlineStr">
        <is>
          <t>The organisation</t>
        </is>
      </c>
    </row>
    <row r="7" ht="15" customHeight="1" s="18">
      <c r="A7" s="21" t="inlineStr">
        <is>
          <t>Income recognition</t>
        </is>
      </c>
      <c r="B7" s="22"/>
      <c r="C7" s="20" t="inlineStr">
        <is>
          <t>as spent for a grant paid upfront and released as it is spent; blank or as invoiced otherwise</t>
        </is>
      </c>
    </row>
    <row r="8" ht="15" customHeight="1" s="18">
      <c r="A8" s="21" t="inlineStr">
        <is>
          <t>Funding start</t>
        </is>
      </c>
      <c r="B8" s="23" t="n">
        <v>46204</v>
      </c>
      <c r="C8" s="20" t="inlineStr">
        <is>
          <t>First day of the grant period</t>
        </is>
      </c>
    </row>
    <row r="9" ht="15" customHeight="1" s="18">
      <c r="A9" s="21" t="inlineStr">
        <is>
          <t>Funding end</t>
        </is>
      </c>
      <c r="B9" s="23" t="n">
        <v>46568</v>
      </c>
      <c r="C9" s="20" t="inlineStr">
        <is>
          <t>Last day. Lets the dashboard flag spend after a grant ends</t>
        </is>
      </c>
    </row>
    <row r="10" ht="15" customHeight="1" s="18">
      <c r="A10" s="21" t="inlineStr">
        <is>
          <t>Contribution policy</t>
        </is>
      </c>
      <c r="B10" s="22" t="inlineStr">
        <is>
          <t>percent_of_income:40</t>
        </is>
      </c>
      <c r="C10" s="20" t="inlineStr">
        <is>
          <t>none | percent_of_income:&lt;n&gt; | per_line</t>
        </is>
      </c>
    </row>
    <row r="11" ht="15" customHeight="1" s="18">
      <c r="A11" s="21" t="inlineStr">
        <is>
          <t>Amount secured</t>
        </is>
      </c>
      <c r="B11" s="24" t="n">
        <v>0</v>
      </c>
      <c r="C11" s="20" t="inlineStr">
        <is>
          <t>GST exclusive. 0 while the bid is proposed</t>
        </is>
      </c>
    </row>
    <row r="12" ht="15" customHeight="1" s="18">
      <c r="A12" s="21" t="inlineStr">
        <is>
          <t>Decision date</t>
        </is>
      </c>
      <c r="B12" s="23" t="n">
        <v>46188</v>
      </c>
      <c r="C12" s="20" t="inlineStr">
        <is>
          <t>When the funder decides. Blank once secured</t>
        </is>
      </c>
    </row>
    <row r="13" ht="15" customHeight="1" s="18">
      <c r="A13" s="21" t="inlineStr">
        <is>
          <t>Probability</t>
        </is>
      </c>
      <c r="B13" s="23" t="inlineStr">
        <is>
          <t>60%</t>
        </is>
      </c>
      <c r="C13" s="20" t="inlineStr">
        <is>
          <t>0 to 100, proposed only: the chance this ask is won</t>
        </is>
      </c>
    </row>
    <row r="14" ht="15" customHeight="1" s="18">
      <c r="A14" s="21" t="inlineStr">
        <is>
          <t>Exclusivity group</t>
        </is>
      </c>
      <c r="B14" s="23"/>
      <c r="C14" s="20" t="inlineStr">
        <is>
          <t>A label shared by competing applications for the same work</t>
        </is>
      </c>
    </row>
    <row r="15" ht="15" customHeight="1" s="18">
      <c r="A15" s="21" t="inlineStr">
        <is>
          <t>Owner</t>
        </is>
      </c>
      <c r="B15" s="22" t="inlineStr">
        <is>
          <t>owner@example.org</t>
        </is>
      </c>
      <c r="C15" s="20" t="inlineStr">
        <is>
          <t>Health findings for this sheet are addressed here</t>
        </is>
      </c>
    </row>
    <row r="16" ht="15" customHeight="1" s="18">
      <c r="A16" s="21" t="inlineStr">
        <is>
          <t>Last reviewed</t>
        </is>
      </c>
      <c r="B16" s="23" t="n">
        <v>46245</v>
      </c>
      <c r="C16" s="20" t="inlineStr">
        <is>
          <t>Date last checked against reality</t>
        </is>
      </c>
    </row>
    <row r="17" ht="15" customHeight="1" s="18">
      <c r="A17" s="25" t="inlineStr">
        <is>
          <t>Link</t>
        </is>
      </c>
      <c r="B17" s="26" t="inlineStr">
        <is>
          <t>https://drive.google.com/drive/folders/EXAMPLE</t>
        </is>
      </c>
    </row>
    <row r="18" ht="15" customHeight="1" s="18">
      <c r="A18" s="21" t="inlineStr">
        <is>
          <t>Notes</t>
        </is>
      </c>
      <c r="B18" s="22" t="n"/>
      <c r="C18" s="20" t="inlineStr">
        <is>
          <t>Free text. Never put a number here that anything else needs</t>
        </is>
      </c>
    </row>
    <row r="19">
      <c r="A19" s="21" t="inlineStr">
        <is>
          <t>Amount requested</t>
        </is>
      </c>
      <c r="B19" s="27">
        <f>SUM(Budget!E:E)</f>
        <v/>
      </c>
      <c r="C19" s="20" t="inlineStr">
        <is>
          <t>Derived: total Income on the Budget tab</t>
        </is>
      </c>
    </row>
    <row r="20" ht="15" customHeight="1" s="18"/>
    <row r="21" ht="15" customHeight="1" s="18">
      <c r="A21" s="21" t="inlineStr">
        <is>
          <t>Derived from the Budget tab - do not edit</t>
        </is>
      </c>
    </row>
    <row r="22" ht="15" customHeight="1" s="18">
      <c r="A22" s="21" t="inlineStr">
        <is>
          <t>Total cost</t>
        </is>
      </c>
      <c r="B22" s="27">
        <f>SUM(Budget!D:D)</f>
        <v/>
      </c>
      <c r="C22" s="20" t="inlineStr">
        <is>
          <t>Sum of the Cost column</t>
        </is>
      </c>
    </row>
    <row r="23" ht="15" customHeight="1" s="18">
      <c r="A23" s="21" t="inlineStr">
        <is>
          <t>Total income</t>
        </is>
      </c>
      <c r="B23" s="27">
        <f>SUM(Budget!E:E)</f>
        <v/>
      </c>
      <c r="C23" s="20" t="inlineStr">
        <is>
          <t>Sum of the Income column</t>
        </is>
      </c>
    </row>
    <row r="24" ht="15" customHeight="1" s="18">
      <c r="A24" s="21" t="inlineStr">
        <is>
          <t>Total contribution</t>
        </is>
      </c>
      <c r="B24" s="27">
        <f>SUM(Budget!F:F)</f>
        <v/>
      </c>
      <c r="C24" s="20" t="inlineStr">
        <is>
          <t>Income minus Cost, per line</t>
        </is>
      </c>
    </row>
    <row r="25">
      <c r="A25" s="21" t="inlineStr">
        <is>
          <t>Contribution as % of income</t>
        </is>
      </c>
      <c r="B25" s="28">
        <f>IFERROR(B24/B23,0)</f>
        <v/>
      </c>
      <c r="C25" s="20" t="inlineStr">
        <is>
          <t>Should match the Contribution policy above</t>
        </is>
      </c>
    </row>
  </sheetData>
  <mergeCells count="1">
    <mergeCell ref="A2:D2"/>
  </mergeCells>
  <dataValidations count="2">
    <dataValidation sqref="B7" showDropDown="0" showInputMessage="0" showErrorMessage="0" allowBlank="0" type="list" errorStyle="stop" operator="between">
      <formula1>"as spent,as invoiced"</formula1>
      <formula2>0</formula2>
    </dataValidation>
    <dataValidation sqref="B10" showDropDown="0" showInputMessage="0" showErrorMessage="0" allowBlank="0" type="list" errorStyle="stop" operator="between">
      <formula1>"none,percent_of_income:40,percent_of_income:20,per_line"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customHeight="0" zeroHeight="0" outlineLevelRow="0"/>
  <cols>
    <col width="22" customWidth="1" style="17" min="1" max="1"/>
    <col width="11" customWidth="1" style="17" min="2" max="5"/>
    <col width="13" customWidth="1" style="17" min="6" max="6"/>
    <col width="42" customWidth="1" style="17" min="7" max="7"/>
    <col width="46" customWidth="1" style="17" min="8" max="8"/>
    <col width="18" customWidth="1" style="17" min="9" max="9"/>
    <col width="40" customWidth="1" style="17" min="10" max="10"/>
  </cols>
  <sheetData>
    <row r="1" ht="15" customHeight="1" s="18">
      <c r="A1" s="20" t="inlineStr">
        <is>
          <t>Budget - the live baseline the dashboard reads. One row per milestone, or several rows sharing one Xero Inventory Item. Do NOT add a totals row: it would be parsed as a budget line. Totals live on Funding_info.</t>
        </is>
      </c>
    </row>
    <row r="2" ht="15" customHeight="1" s="18">
      <c r="A2" s="29" t="inlineStr">
        <is>
          <t>Description</t>
        </is>
      </c>
      <c r="B2" s="29" t="inlineStr">
        <is>
          <t>Start</t>
        </is>
      </c>
      <c r="C2" s="29" t="inlineStr">
        <is>
          <t>End</t>
        </is>
      </c>
      <c r="D2" s="29" t="inlineStr">
        <is>
          <t>Cost</t>
        </is>
      </c>
      <c r="E2" s="29" t="inlineStr">
        <is>
          <t>Income</t>
        </is>
      </c>
      <c r="F2" s="29" t="inlineStr">
        <is>
          <t>Contribution</t>
        </is>
      </c>
      <c r="G2" s="29" t="inlineStr">
        <is>
          <t>Milestone</t>
        </is>
      </c>
      <c r="H2" s="29" t="inlineStr">
        <is>
          <t>Xero Inventory Item</t>
        </is>
      </c>
      <c r="I2" s="29" t="inlineStr">
        <is>
          <t>Project</t>
        </is>
      </c>
      <c r="J2" s="29" t="inlineStr">
        <is>
          <t>Comments</t>
        </is>
      </c>
    </row>
    <row r="3" ht="15" customHeight="1" s="18">
      <c r="A3" s="30" t="inlineStr">
        <is>
          <t>Data Scientist</t>
        </is>
      </c>
      <c r="B3" s="23" t="n">
        <v>46204</v>
      </c>
      <c r="C3" s="23" t="n">
        <v>46387</v>
      </c>
      <c r="D3" s="24" t="n">
        <v>12000</v>
      </c>
      <c r="E3" s="24" t="n">
        <v>20000</v>
      </c>
      <c r="F3" s="27">
        <f>E3-D3</f>
        <v/>
      </c>
      <c r="G3" s="30" t="inlineStr">
        <is>
          <t>Baseline model assessment and data ingestion</t>
        </is>
      </c>
      <c r="H3" s="30" t="inlineStr">
        <is>
          <t>SPY_26_EXAMPLE_001 - Baseline model assessment</t>
        </is>
      </c>
      <c r="I3" s="30" t="n"/>
      <c r="J3" s="31" t="inlineStr">
        <is>
          <t>Illustrative figures only - replace with your own</t>
        </is>
      </c>
    </row>
    <row r="4" ht="15" customHeight="1" s="18">
      <c r="A4" s="30" t="inlineStr">
        <is>
          <t>Project Manager</t>
        </is>
      </c>
      <c r="B4" s="23" t="n">
        <v>46204</v>
      </c>
      <c r="C4" s="23" t="n">
        <v>46387</v>
      </c>
      <c r="D4" s="24" t="n">
        <v>3000</v>
      </c>
      <c r="E4" s="24" t="n">
        <v>5000</v>
      </c>
      <c r="F4" s="27">
        <f>E4-D4</f>
        <v/>
      </c>
      <c r="G4" s="30" t="inlineStr">
        <is>
          <t>Baseline model assessment and data ingestion</t>
        </is>
      </c>
      <c r="H4" s="30" t="inlineStr">
        <is>
          <t>SPY_26_EXAMPLE_001 - Baseline model assessment</t>
        </is>
      </c>
      <c r="I4" s="30" t="n"/>
      <c r="J4" s="31" t="inlineStr">
        <is>
          <t>Second row on the same milestone, split by role</t>
        </is>
      </c>
    </row>
    <row r="5" ht="15" customHeight="1" s="18">
      <c r="A5" s="30" t="inlineStr">
        <is>
          <t>Data Scientist</t>
        </is>
      </c>
      <c r="B5" s="23" t="n">
        <v>46388</v>
      </c>
      <c r="C5" s="23" t="n">
        <v>46568</v>
      </c>
      <c r="D5" s="24" t="n">
        <v>12000</v>
      </c>
      <c r="E5" s="24" t="n">
        <v>20000</v>
      </c>
      <c r="F5" s="27">
        <f>E5-D5</f>
        <v/>
      </c>
      <c r="G5" s="30" t="inlineStr">
        <is>
          <t>Final validation and co-authored manuscript</t>
        </is>
      </c>
      <c r="H5" s="30" t="inlineStr">
        <is>
          <t>SPY_26_EXAMPLE_002 - Final validation and manuscript</t>
        </is>
      </c>
      <c r="I5" s="30" t="n"/>
      <c r="J5" s="31" t="inlineStr">
        <is>
          <t>Illustrative figures only</t>
        </is>
      </c>
    </row>
    <row r="6" ht="15" customHeight="1" s="18">
      <c r="A6" s="30" t="inlineStr">
        <is>
          <t>Project Manager</t>
        </is>
      </c>
      <c r="B6" s="23" t="n">
        <v>46388</v>
      </c>
      <c r="C6" s="23" t="n">
        <v>46568</v>
      </c>
      <c r="D6" s="24" t="n">
        <v>3000</v>
      </c>
      <c r="E6" s="24" t="n">
        <v>5000</v>
      </c>
      <c r="F6" s="27">
        <f>E6-D6</f>
        <v/>
      </c>
      <c r="G6" s="30" t="inlineStr">
        <is>
          <t>Final validation and co-authored manuscript</t>
        </is>
      </c>
      <c r="H6" s="30" t="inlineStr">
        <is>
          <t>SPY_26_EXAMPLE_002 - Final validation and manuscript</t>
        </is>
      </c>
      <c r="I6" s="30" t="inlineStr">
        <is>
          <t>General</t>
        </is>
      </c>
      <c r="J6" s="31" t="inlineStr">
        <is>
          <t>Project column sends this line to General</t>
        </is>
      </c>
    </row>
  </sheetData>
  <mergeCells count="1">
    <mergeCell ref="A1:J1"/>
  </mergeCells>
  <dataValidations count="1">
    <dataValidation sqref="I3:I200" showDropDown="0" showInputMessage="0" showErrorMessage="0" allowBlank="1" type="list" errorStyle="stop" operator="between">
      <formula1>"Spyfish Aotearoa,Wild About AI,Wildlife Watcher,General"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cols>
    <col width="50" customWidth="1" style="17" min="1" max="1"/>
    <col width="19" customWidth="1" style="17" min="2" max="5"/>
    <col width="42" customWidth="1" style="17" min="6" max="6"/>
  </cols>
  <sheetData>
    <row r="1" ht="15" customHeight="1" s="18">
      <c r="A1" s="20" t="inlineStr">
        <is>
          <t>Forecast - OPTIONAL per-quarter overrides. A quarter with no entry falls back to the budget baseline, so an empty tab is fine. Column headers must read exactly 'MMM-MMM YY Forecast'. Rows must start with the Xero Inventory Item code.</t>
        </is>
      </c>
    </row>
    <row r="3" ht="15" customHeight="1" s="18">
      <c r="A3" s="29" t="inlineStr">
        <is>
          <t>Revenue</t>
        </is>
      </c>
      <c r="B3" s="29">
        <f>IF(Funding_info!$B$8="","",TEXT(EOMONTH(EOMONTH(Funding_info!$B$8, -MOD(MONTH(Funding_info!$B$8)-1, 3) - 1), 1), "mmm") &amp; "-" &amp; TEXT(EOMONTH(EOMONTH(Funding_info!$B$8, -MOD(MONTH(Funding_info!$B$8)-1, 3) - 1), 3), "mmm yy") &amp; " Forecast")</f>
        <v/>
      </c>
      <c r="C3" s="29">
        <f>IF(Funding_info!$B$8="","",TEXT(EOMONTH(EOMONTH(Funding_info!$B$8, -MOD(MONTH(Funding_info!$B$8)-1, 3) - 1), 4), "mmm") &amp; "-" &amp; TEXT(EOMONTH(EOMONTH(Funding_info!$B$8, -MOD(MONTH(Funding_info!$B$8)-1, 3) - 1), 6), "mmm yy") &amp; " Forecast")</f>
        <v/>
      </c>
      <c r="D3" s="29">
        <f>IF(Funding_info!$B$8="","",TEXT(EOMONTH(EOMONTH(Funding_info!$B$8, -MOD(MONTH(Funding_info!$B$8)-1, 3) - 1), 7), "mmm") &amp; "-" &amp; TEXT(EOMONTH(EOMONTH(Funding_info!$B$8, -MOD(MONTH(Funding_info!$B$8)-1, 3) - 1), 9), "mmm yy") &amp; " Forecast")</f>
        <v/>
      </c>
      <c r="E3" s="29">
        <f>IF(Funding_info!$B$8="","",TEXT(EOMONTH(EOMONTH(Funding_info!$B$8, -MOD(MONTH(Funding_info!$B$8)-1, 3) - 1), 10), "mmm") &amp; "-" &amp; TEXT(EOMONTH(EOMONTH(Funding_info!$B$8, -MOD(MONTH(Funding_info!$B$8)-1, 3) - 1), 12), "mmm yy") &amp; " Forecast")</f>
        <v/>
      </c>
      <c r="F3" s="29" t="inlineStr">
        <is>
          <t>Comments</t>
        </is>
      </c>
    </row>
    <row r="4" ht="15" customHeight="1" s="18">
      <c r="A4" s="30" t="inlineStr">
        <is>
          <t>SPY_26_EXAMPLE_001 - Baseline model assessment</t>
        </is>
      </c>
      <c r="B4" s="32" t="n">
        <v>25000</v>
      </c>
      <c r="C4" s="32" t="n"/>
      <c r="D4" s="32" t="n"/>
      <c r="E4" s="32" t="n"/>
      <c r="F4" s="20" t="inlineStr">
        <is>
          <t>On signing of the agreement</t>
        </is>
      </c>
    </row>
    <row r="5" ht="15" customHeight="1" s="18">
      <c r="A5" s="30" t="inlineStr">
        <is>
          <t>SPY_26_EXAMPLE_002 - Final validation and manuscript</t>
        </is>
      </c>
      <c r="B5" s="32" t="n"/>
      <c r="C5" s="32" t="n"/>
      <c r="D5" s="32" t="n">
        <v>25000</v>
      </c>
      <c r="E5" s="32" t="n"/>
      <c r="F5" s="20" t="inlineStr">
        <is>
          <t>On completion of the research</t>
        </is>
      </c>
    </row>
    <row r="6" ht="15" customHeight="1" s="18">
      <c r="A6" s="21" t="inlineStr">
        <is>
          <t>Total</t>
        </is>
      </c>
      <c r="B6" s="33">
        <f>SUM(B4:B5)</f>
        <v/>
      </c>
      <c r="C6" s="33">
        <f>SUM(C4:C5)</f>
        <v/>
      </c>
      <c r="D6" s="33">
        <f>SUM(D4:D5)</f>
        <v/>
      </c>
      <c r="E6" s="33">
        <f>SUM(E4:E5)</f>
        <v/>
      </c>
    </row>
    <row r="8" ht="15" customHeight="1" s="18">
      <c r="A8" s="29" t="inlineStr">
        <is>
          <t>Expenses</t>
        </is>
      </c>
      <c r="B8" s="29">
        <f>IF(Funding_info!$B$8="","",TEXT(EOMONTH(EOMONTH(Funding_info!$B$8, -MOD(MONTH(Funding_info!$B$8)-1, 3) - 1), 1), "mmm") &amp; "-" &amp; TEXT(EOMONTH(EOMONTH(Funding_info!$B$8, -MOD(MONTH(Funding_info!$B$8)-1, 3) - 1), 3), "mmm yy") &amp; " Forecast")</f>
        <v/>
      </c>
      <c r="C8" s="29">
        <f>IF(Funding_info!$B$8="","",TEXT(EOMONTH(EOMONTH(Funding_info!$B$8, -MOD(MONTH(Funding_info!$B$8)-1, 3) - 1), 4), "mmm") &amp; "-" &amp; TEXT(EOMONTH(EOMONTH(Funding_info!$B$8, -MOD(MONTH(Funding_info!$B$8)-1, 3) - 1), 6), "mmm yy") &amp; " Forecast")</f>
        <v/>
      </c>
      <c r="D8" s="29">
        <f>IF(Funding_info!$B$8="","",TEXT(EOMONTH(EOMONTH(Funding_info!$B$8, -MOD(MONTH(Funding_info!$B$8)-1, 3) - 1), 7), "mmm") &amp; "-" &amp; TEXT(EOMONTH(EOMONTH(Funding_info!$B$8, -MOD(MONTH(Funding_info!$B$8)-1, 3) - 1), 9), "mmm yy") &amp; " Forecast")</f>
        <v/>
      </c>
      <c r="E8" s="29">
        <f>IF(Funding_info!$B$8="","",TEXT(EOMONTH(EOMONTH(Funding_info!$B$8, -MOD(MONTH(Funding_info!$B$8)-1, 3) - 1), 10), "mmm") &amp; "-" &amp; TEXT(EOMONTH(EOMONTH(Funding_info!$B$8, -MOD(MONTH(Funding_info!$B$8)-1, 3) - 1), 12), "mmm yy") &amp; " Forecast")</f>
        <v/>
      </c>
      <c r="F8" s="29" t="inlineStr">
        <is>
          <t>Comments</t>
        </is>
      </c>
    </row>
    <row r="9" ht="15" customHeight="1" s="18">
      <c r="A9" s="30" t="inlineStr">
        <is>
          <t>SPY_26_EXAMPLE_001 - Baseline model assessment</t>
        </is>
      </c>
      <c r="B9" s="32" t="n">
        <v>15000</v>
      </c>
      <c r="C9" s="32" t="n"/>
      <c r="D9" s="32" t="n"/>
      <c r="E9" s="32" t="n"/>
      <c r="F9" s="20" t="inlineStr">
        <is>
          <t>Both roles, to December</t>
        </is>
      </c>
    </row>
    <row r="10" ht="15" customHeight="1" s="18">
      <c r="A10" s="30" t="inlineStr">
        <is>
          <t>SPY_26_EXAMPLE_002 - Final validation and manuscript</t>
        </is>
      </c>
      <c r="B10" s="32" t="n"/>
      <c r="C10" s="32" t="n"/>
      <c r="D10" s="32" t="n">
        <v>15000</v>
      </c>
      <c r="E10" s="32" t="n"/>
      <c r="F10" s="20" t="inlineStr">
        <is>
          <t>Both roles, second half</t>
        </is>
      </c>
    </row>
    <row r="11" ht="15" customHeight="1" s="18">
      <c r="A11" s="21" t="inlineStr">
        <is>
          <t>Total</t>
        </is>
      </c>
      <c r="B11" s="33">
        <f>SUM(B9:B10)</f>
        <v/>
      </c>
      <c r="C11" s="33">
        <f>SUM(C9:C10)</f>
        <v/>
      </c>
      <c r="D11" s="33">
        <f>SUM(D9:D10)</f>
        <v/>
      </c>
      <c r="E11" s="33">
        <f>SUM(E9:E10)</f>
        <v/>
      </c>
    </row>
    <row r="13" ht="15" customHeight="1" s="18">
      <c r="A13" s="21" t="inlineStr">
        <is>
          <t>Funding Source Details</t>
        </is>
      </c>
    </row>
    <row r="14" ht="15" customHeight="1" s="18">
      <c r="A14" s="20" t="inlineStr">
        <is>
          <t>Nothing below this row is read. Keep working notes here.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cols>
    <col width="46" customWidth="1" style="17" min="1" max="1"/>
    <col width="12" customWidth="1" style="17" min="2" max="3"/>
    <col width="22" customWidth="1" style="17" min="4" max="4"/>
  </cols>
  <sheetData>
    <row r="1" ht="15" customHeight="1" s="18">
      <c r="A1" s="20" t="inlineStr">
        <is>
          <t>Submitted_budget - a frozen copy of what the funder was actually given. Not read by the dashboard. Never edit after submission; re-budgets go on the Budget tab.</t>
        </is>
      </c>
    </row>
    <row r="2" ht="15" customHeight="1" s="18">
      <c r="A2" s="29" t="inlineStr">
        <is>
          <t>Milestone</t>
        </is>
      </c>
      <c r="B2" s="29" t="inlineStr">
        <is>
          <t>Start</t>
        </is>
      </c>
      <c r="C2" s="29" t="inlineStr">
        <is>
          <t>End</t>
        </is>
      </c>
      <c r="D2" s="29" t="inlineStr">
        <is>
          <t>Amount (GST exclusive)</t>
        </is>
      </c>
    </row>
    <row r="3" ht="15" customHeight="1" s="18">
      <c r="A3" s="30" t="inlineStr">
        <is>
          <t>Baseline model assessment and data ingestion</t>
        </is>
      </c>
      <c r="B3" s="34" t="n">
        <v>46204</v>
      </c>
      <c r="C3" s="34" t="n">
        <v>46387</v>
      </c>
      <c r="D3" s="35" t="n">
        <v>25000</v>
      </c>
    </row>
    <row r="4" ht="15" customHeight="1" s="18">
      <c r="A4" s="30" t="inlineStr">
        <is>
          <t>Final validation and co-authored manuscript</t>
        </is>
      </c>
      <c r="B4" s="34" t="n">
        <v>46388</v>
      </c>
      <c r="C4" s="34" t="n">
        <v>46568</v>
      </c>
      <c r="D4" s="35" t="n">
        <v>25000</v>
      </c>
    </row>
    <row r="5" ht="15" customHeight="1" s="18">
      <c r="A5" s="21" t="inlineStr">
        <is>
          <t>Total expenses (GST exclusive)</t>
        </is>
      </c>
      <c r="D5" s="27">
        <f>SUM(D3:D4)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en-NZ</dc:language>
  <dcterms:created xsi:type="dcterms:W3CDTF">2026-08-11T07:51:07Z</dcterms:created>
  <dcterms:modified xsi:type="dcterms:W3CDTF">2026-08-12T21:04:23Z</dcterms:modified>
  <cp:revision>0</cp:revision>
</cp:coreProperties>
</file>